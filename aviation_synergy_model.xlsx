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kysu\Downloads\"/>
    </mc:Choice>
  </mc:AlternateContent>
  <xr:revisionPtr revIDLastSave="0" documentId="11_1A0AA01D7D685EF601ECA5A8D91D016D2E5BBFB9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Assumptions" sheetId="1" r:id="rId1"/>
    <sheet name="Synergy Model" sheetId="2" r:id="rId2"/>
    <sheet name="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2" l="1"/>
  <c r="B24" i="2" s="1"/>
  <c r="B7" i="3" s="1"/>
  <c r="C12" i="2"/>
  <c r="C5" i="3" s="1"/>
  <c r="B12" i="2"/>
  <c r="B5" i="3" s="1"/>
  <c r="B11" i="2"/>
  <c r="B10" i="2"/>
  <c r="B22" i="2" s="1"/>
  <c r="D9" i="2"/>
  <c r="D21" i="2" s="1"/>
  <c r="C9" i="2"/>
  <c r="C21" i="2" s="1"/>
  <c r="B9" i="2"/>
  <c r="B21" i="2" s="1"/>
  <c r="B8" i="2"/>
  <c r="B20" i="2" s="1"/>
  <c r="C7" i="2"/>
  <c r="C23" i="2" s="1"/>
  <c r="B7" i="2"/>
  <c r="B23" i="2" s="1"/>
  <c r="D6" i="2"/>
  <c r="D4" i="3" s="1"/>
  <c r="B6" i="2"/>
  <c r="B4" i="3" s="1"/>
  <c r="B14" i="1"/>
  <c r="D13" i="1"/>
  <c r="D12" i="2" s="1"/>
  <c r="C13" i="1"/>
  <c r="D12" i="1"/>
  <c r="C12" i="1"/>
  <c r="D11" i="1"/>
  <c r="D11" i="2" s="1"/>
  <c r="D19" i="2" s="1"/>
  <c r="C11" i="1"/>
  <c r="C11" i="2" s="1"/>
  <c r="C19" i="2" s="1"/>
  <c r="D10" i="1"/>
  <c r="D10" i="2" s="1"/>
  <c r="D22" i="2" s="1"/>
  <c r="C10" i="1"/>
  <c r="C10" i="2" s="1"/>
  <c r="C22" i="2" s="1"/>
  <c r="D9" i="1"/>
  <c r="C9" i="1"/>
  <c r="D8" i="1"/>
  <c r="D8" i="2" s="1"/>
  <c r="D20" i="2" s="1"/>
  <c r="C8" i="1"/>
  <c r="C8" i="2" s="1"/>
  <c r="C20" i="2" s="1"/>
  <c r="D7" i="1"/>
  <c r="D14" i="1" s="1"/>
  <c r="C7" i="1"/>
  <c r="C14" i="1" s="1"/>
  <c r="D6" i="1"/>
  <c r="C6" i="1"/>
  <c r="C6" i="2" s="1"/>
  <c r="D5" i="3" l="1"/>
  <c r="C4" i="3"/>
  <c r="C15" i="2"/>
  <c r="C16" i="2" s="1"/>
  <c r="C24" i="2"/>
  <c r="C7" i="3" s="1"/>
  <c r="D7" i="2"/>
  <c r="D23" i="2" s="1"/>
  <c r="D24" i="2" s="1"/>
  <c r="D7" i="3" s="1"/>
  <c r="B15" i="2"/>
  <c r="B16" i="2" s="1"/>
  <c r="D15" i="2"/>
  <c r="D16" i="2" s="1"/>
  <c r="D27" i="2" l="1"/>
  <c r="D6" i="3"/>
  <c r="B27" i="2"/>
  <c r="B6" i="3"/>
  <c r="C27" i="2"/>
  <c r="C6" i="3"/>
  <c r="C29" i="2" l="1"/>
  <c r="C10" i="3" s="1"/>
  <c r="C8" i="3"/>
  <c r="C28" i="2"/>
  <c r="C9" i="3" s="1"/>
  <c r="B8" i="3"/>
  <c r="B29" i="2"/>
  <c r="B10" i="3" s="1"/>
  <c r="B28" i="2"/>
  <c r="B9" i="3" s="1"/>
  <c r="D29" i="2"/>
  <c r="D10" i="3" s="1"/>
  <c r="D8" i="3"/>
  <c r="D28" i="2"/>
  <c r="D9" i="3" s="1"/>
</calcChain>
</file>

<file path=xl/sharedStrings.xml><?xml version="1.0" encoding="utf-8"?>
<sst xmlns="http://schemas.openxmlformats.org/spreadsheetml/2006/main" count="83" uniqueCount="55">
  <si>
    <t>PwC Aviation Synergy Model – Assumptions (all values in $m)</t>
  </si>
  <si>
    <t>Source: Supervisor email / Joe conversation notes  |  Blue = hardcoded input  |  Yellow = changeable assumption</t>
  </si>
  <si>
    <t>Item</t>
  </si>
  <si>
    <t>Conservative</t>
  </si>
  <si>
    <t>Midpoint</t>
  </si>
  <si>
    <t>Aggressive</t>
  </si>
  <si>
    <t>Notes</t>
  </si>
  <si>
    <t xml:space="preserve">  CLIENT DATA  (FY21 Actuals, $m)</t>
  </si>
  <si>
    <t>Revenue</t>
  </si>
  <si>
    <t>Source: Supervisor email, client data</t>
  </si>
  <si>
    <t>Aircraft Lease</t>
  </si>
  <si>
    <t>Fuel</t>
  </si>
  <si>
    <t>Maintenance</t>
  </si>
  <si>
    <t>Software</t>
  </si>
  <si>
    <t>G&amp;A (Back Office)</t>
  </si>
  <si>
    <t>Other Cost</t>
  </si>
  <si>
    <t>EBIT</t>
  </si>
  <si>
    <t>Total Costs</t>
  </si>
  <si>
    <t>Sum of cost lines (excl. EBIT)</t>
  </si>
  <si>
    <t xml:space="preserve">  SYNERGY ASSUMPTIONS  (% of relevant line)</t>
  </si>
  <si>
    <t>Synergy Driver</t>
  </si>
  <si>
    <t>Revenue Uplift</t>
  </si>
  <si>
    <t>5–10% of Revenue (Joe notes)</t>
  </si>
  <si>
    <t>G&amp;A Back-Office Savings</t>
  </si>
  <si>
    <t>10–25% of G&amp;A (Joe notes)</t>
  </si>
  <si>
    <t>Fuel Cost Savings</t>
  </si>
  <si>
    <t>5–8% of Fuel (Joe notes)</t>
  </si>
  <si>
    <t>Maintenance Savings</t>
  </si>
  <si>
    <t>10–12% of Maintenance (Joe notes)</t>
  </si>
  <si>
    <t>Software Savings</t>
  </si>
  <si>
    <t>10–20% of Software (Joe notes)</t>
  </si>
  <si>
    <t>Aircraft Lease Savings</t>
  </si>
  <si>
    <t>6–8% of Aircraft Lease (Joe notes)</t>
  </si>
  <si>
    <t>PwC Aviation Synergy Model – Synergy Calculations (all values $m)</t>
  </si>
  <si>
    <t>Blue=Input | Black=Formula | Yellow=Key Assumption | All values in $m</t>
  </si>
  <si>
    <t xml:space="preserve">  A. BASE FINANCIALS ($m)</t>
  </si>
  <si>
    <t xml:space="preserve">  B. REVENUE SYNERGIES ($m)</t>
  </si>
  <si>
    <t>Total Revenue Synergies</t>
  </si>
  <si>
    <t xml:space="preserve">  C. COST SYNERGIES ($m)</t>
  </si>
  <si>
    <t>G&amp;A / Back-Office Savings</t>
  </si>
  <si>
    <t>Software / License Savings</t>
  </si>
  <si>
    <t>Total Cost Synergies</t>
  </si>
  <si>
    <t xml:space="preserve">  D. TOTAL SYNERGY SUMMARY ($m)</t>
  </si>
  <si>
    <t>Total Synergies (Revenue + Cost)</t>
  </si>
  <si>
    <t>Pro-Forma EBIT (post-synergies)</t>
  </si>
  <si>
    <t>Total Synergies as % of Revenue</t>
  </si>
  <si>
    <t>PwC Aviation Synergy Model – Summary Dashboard (all values $m)</t>
  </si>
  <si>
    <t>Metric</t>
  </si>
  <si>
    <t>Base Revenue ($m)</t>
  </si>
  <si>
    <t>Base EBIT ($m)</t>
  </si>
  <si>
    <t>Total Revenue Synergies ($m)</t>
  </si>
  <si>
    <t>Total Cost Synergies ($m)</t>
  </si>
  <si>
    <t>TOTAL SYNERGIES ($m)</t>
  </si>
  <si>
    <t>Pro-Forma EBIT ($m)</t>
  </si>
  <si>
    <t>Synergies as %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</si>
</sst>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sz val="9"/>
      <color rgb="FF55555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EBF3FB"/>
        <bgColor rgb="FFE2EFDA"/>
      </patternFill>
    </fill>
    <fill>
      <patternFill patternType="solid">
        <fgColor rgb="FFE2EFDA"/>
        <bgColor rgb="FFEBF3FB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2" xfId="0" applyFont="1" applyFill="1" applyBorder="1" applyAlignment="1">
      <alignment horizontal="left" vertical="center"/>
    </xf>
    <xf numFmtId="0" fontId="2" fillId="0" borderId="0" xfId="0" applyFont="1"/>
    <xf numFmtId="0" fontId="1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7" fillId="0" borderId="0" xfId="0" applyFont="1"/>
    <xf numFmtId="0" fontId="4" fillId="0" borderId="1" xfId="0" applyFont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zoomScaleNormal="100" workbookViewId="0"/>
  </sheetViews>
  <sheetFormatPr defaultColWidth="8.7109375" defaultRowHeight="15" x14ac:dyDescent="0.25"/>
  <cols>
    <col min="1" max="1" width="32" customWidth="1"/>
    <col min="2" max="4" width="16" customWidth="1"/>
    <col min="5" max="5" width="36" customWidth="1"/>
  </cols>
  <sheetData>
    <row r="1" spans="1:5" ht="27.75" customHeight="1" x14ac:dyDescent="0.25">
      <c r="A1" s="3" t="s">
        <v>0</v>
      </c>
      <c r="B1" s="3"/>
      <c r="C1" s="3"/>
      <c r="D1" s="3"/>
      <c r="E1" s="3"/>
    </row>
    <row r="2" spans="1:5" x14ac:dyDescent="0.25">
      <c r="A2" s="2" t="s">
        <v>1</v>
      </c>
      <c r="B2" s="2"/>
      <c r="C2" s="2"/>
      <c r="D2" s="2"/>
      <c r="E2" s="2"/>
    </row>
    <row r="4" spans="1:5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x14ac:dyDescent="0.25">
      <c r="A5" s="1" t="s">
        <v>7</v>
      </c>
      <c r="B5" s="1"/>
      <c r="C5" s="1"/>
      <c r="D5" s="1"/>
      <c r="E5" s="1"/>
    </row>
    <row r="6" spans="1:5" x14ac:dyDescent="0.25">
      <c r="A6" s="5" t="s">
        <v>8</v>
      </c>
      <c r="B6" s="6">
        <v>100</v>
      </c>
      <c r="C6" s="7">
        <f t="shared" ref="C6:C13" si="0">B6</f>
        <v>100</v>
      </c>
      <c r="D6" s="7">
        <f t="shared" ref="D6:D13" si="1">B6</f>
        <v>100</v>
      </c>
      <c r="E6" s="8" t="s">
        <v>9</v>
      </c>
    </row>
    <row r="7" spans="1:5" x14ac:dyDescent="0.25">
      <c r="A7" s="5" t="s">
        <v>10</v>
      </c>
      <c r="B7" s="6">
        <v>20</v>
      </c>
      <c r="C7" s="7">
        <f t="shared" si="0"/>
        <v>20</v>
      </c>
      <c r="D7" s="7">
        <f t="shared" si="1"/>
        <v>20</v>
      </c>
      <c r="E7" s="8" t="s">
        <v>9</v>
      </c>
    </row>
    <row r="8" spans="1:5" x14ac:dyDescent="0.25">
      <c r="A8" s="5" t="s">
        <v>11</v>
      </c>
      <c r="B8" s="6">
        <v>25</v>
      </c>
      <c r="C8" s="7">
        <f t="shared" si="0"/>
        <v>25</v>
      </c>
      <c r="D8" s="7">
        <f t="shared" si="1"/>
        <v>25</v>
      </c>
      <c r="E8" s="8" t="s">
        <v>9</v>
      </c>
    </row>
    <row r="9" spans="1:5" x14ac:dyDescent="0.25">
      <c r="A9" s="5" t="s">
        <v>12</v>
      </c>
      <c r="B9" s="6">
        <v>10</v>
      </c>
      <c r="C9" s="7">
        <f t="shared" si="0"/>
        <v>10</v>
      </c>
      <c r="D9" s="7">
        <f t="shared" si="1"/>
        <v>10</v>
      </c>
      <c r="E9" s="8" t="s">
        <v>9</v>
      </c>
    </row>
    <row r="10" spans="1:5" x14ac:dyDescent="0.25">
      <c r="A10" s="5" t="s">
        <v>13</v>
      </c>
      <c r="B10" s="6">
        <v>5</v>
      </c>
      <c r="C10" s="7">
        <f t="shared" si="0"/>
        <v>5</v>
      </c>
      <c r="D10" s="7">
        <f t="shared" si="1"/>
        <v>5</v>
      </c>
      <c r="E10" s="8" t="s">
        <v>9</v>
      </c>
    </row>
    <row r="11" spans="1:5" x14ac:dyDescent="0.25">
      <c r="A11" s="5" t="s">
        <v>14</v>
      </c>
      <c r="B11" s="6">
        <v>10</v>
      </c>
      <c r="C11" s="7">
        <f t="shared" si="0"/>
        <v>10</v>
      </c>
      <c r="D11" s="7">
        <f t="shared" si="1"/>
        <v>10</v>
      </c>
      <c r="E11" s="8" t="s">
        <v>9</v>
      </c>
    </row>
    <row r="12" spans="1:5" x14ac:dyDescent="0.25">
      <c r="A12" s="5" t="s">
        <v>15</v>
      </c>
      <c r="B12" s="6">
        <v>25</v>
      </c>
      <c r="C12" s="7">
        <f t="shared" si="0"/>
        <v>25</v>
      </c>
      <c r="D12" s="7">
        <f t="shared" si="1"/>
        <v>25</v>
      </c>
      <c r="E12" s="8" t="s">
        <v>9</v>
      </c>
    </row>
    <row r="13" spans="1:5" x14ac:dyDescent="0.25">
      <c r="A13" s="5" t="s">
        <v>16</v>
      </c>
      <c r="B13" s="6">
        <v>5</v>
      </c>
      <c r="C13" s="7">
        <f t="shared" si="0"/>
        <v>5</v>
      </c>
      <c r="D13" s="7">
        <f t="shared" si="1"/>
        <v>5</v>
      </c>
      <c r="E13" s="8" t="s">
        <v>9</v>
      </c>
    </row>
    <row r="14" spans="1:5" x14ac:dyDescent="0.25">
      <c r="A14" s="9" t="s">
        <v>17</v>
      </c>
      <c r="B14" s="10">
        <f>B7+B8+B9+B10+B11+B12</f>
        <v>95</v>
      </c>
      <c r="C14" s="10">
        <f>C7+C8+C9+C10+C11+C12</f>
        <v>95</v>
      </c>
      <c r="D14" s="10">
        <f>D7+D8+D9+D10+D11+D12</f>
        <v>95</v>
      </c>
      <c r="E14" s="8" t="s">
        <v>18</v>
      </c>
    </row>
    <row r="16" spans="1:5" x14ac:dyDescent="0.25">
      <c r="A16" s="1" t="s">
        <v>19</v>
      </c>
      <c r="B16" s="1"/>
      <c r="C16" s="1"/>
      <c r="D16" s="1"/>
      <c r="E16" s="1"/>
    </row>
    <row r="17" spans="1:5" x14ac:dyDescent="0.25">
      <c r="A17" s="4" t="s">
        <v>20</v>
      </c>
      <c r="B17" s="4" t="s">
        <v>3</v>
      </c>
      <c r="C17" s="4" t="s">
        <v>4</v>
      </c>
      <c r="D17" s="4" t="s">
        <v>5</v>
      </c>
      <c r="E17" s="4" t="s">
        <v>6</v>
      </c>
    </row>
    <row r="18" spans="1:5" x14ac:dyDescent="0.25">
      <c r="A18" s="5" t="s">
        <v>21</v>
      </c>
      <c r="B18" s="11">
        <v>0.05</v>
      </c>
      <c r="C18" s="11">
        <v>7.4999999999999997E-2</v>
      </c>
      <c r="D18" s="11">
        <v>0.1</v>
      </c>
      <c r="E18" s="8" t="s">
        <v>22</v>
      </c>
    </row>
    <row r="19" spans="1:5" x14ac:dyDescent="0.25">
      <c r="A19" s="5" t="s">
        <v>23</v>
      </c>
      <c r="B19" s="11">
        <v>0.1</v>
      </c>
      <c r="C19" s="11">
        <v>0.17499999999999999</v>
      </c>
      <c r="D19" s="11">
        <v>0.25</v>
      </c>
      <c r="E19" s="8" t="s">
        <v>24</v>
      </c>
    </row>
    <row r="20" spans="1:5" x14ac:dyDescent="0.25">
      <c r="A20" s="5" t="s">
        <v>25</v>
      </c>
      <c r="B20" s="11">
        <v>0.05</v>
      </c>
      <c r="C20" s="11">
        <v>6.5000000000000002E-2</v>
      </c>
      <c r="D20" s="11">
        <v>0.08</v>
      </c>
      <c r="E20" s="8" t="s">
        <v>26</v>
      </c>
    </row>
    <row r="21" spans="1:5" x14ac:dyDescent="0.25">
      <c r="A21" s="5" t="s">
        <v>27</v>
      </c>
      <c r="B21" s="11">
        <v>0.1</v>
      </c>
      <c r="C21" s="11">
        <v>0.11</v>
      </c>
      <c r="D21" s="11">
        <v>0.12</v>
      </c>
      <c r="E21" s="8" t="s">
        <v>28</v>
      </c>
    </row>
    <row r="22" spans="1:5" x14ac:dyDescent="0.25">
      <c r="A22" s="5" t="s">
        <v>29</v>
      </c>
      <c r="B22" s="11">
        <v>0.1</v>
      </c>
      <c r="C22" s="11">
        <v>0.15</v>
      </c>
      <c r="D22" s="11">
        <v>0.2</v>
      </c>
      <c r="E22" s="8" t="s">
        <v>30</v>
      </c>
    </row>
    <row r="23" spans="1:5" x14ac:dyDescent="0.25">
      <c r="A23" s="5" t="s">
        <v>31</v>
      </c>
      <c r="B23" s="11">
        <v>0.06</v>
      </c>
      <c r="C23" s="11">
        <v>7.0000000000000007E-2</v>
      </c>
      <c r="D23" s="11">
        <v>0.08</v>
      </c>
      <c r="E23" s="8" t="s">
        <v>32</v>
      </c>
    </row>
  </sheetData>
  <mergeCells count="4">
    <mergeCell ref="A1:E1"/>
    <mergeCell ref="A2:E2"/>
    <mergeCell ref="A5:E5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tabSelected="1" topLeftCell="A2" zoomScaleNormal="100" workbookViewId="0">
      <selection activeCell="C29" sqref="C29"/>
    </sheetView>
  </sheetViews>
  <sheetFormatPr defaultColWidth="8.7109375" defaultRowHeight="15" x14ac:dyDescent="0.25"/>
  <cols>
    <col min="1" max="1" width="32" customWidth="1"/>
    <col min="2" max="4" width="18" customWidth="1"/>
  </cols>
  <sheetData>
    <row r="1" spans="1:4" ht="27.75" customHeight="1" x14ac:dyDescent="0.25">
      <c r="A1" s="3" t="s">
        <v>33</v>
      </c>
      <c r="B1" s="3"/>
      <c r="C1" s="3"/>
      <c r="D1" s="3"/>
    </row>
    <row r="2" spans="1:4" x14ac:dyDescent="0.25">
      <c r="A2" s="2" t="s">
        <v>34</v>
      </c>
      <c r="B2" s="2"/>
      <c r="C2" s="2"/>
      <c r="D2" s="2"/>
    </row>
    <row r="4" spans="1:4" x14ac:dyDescent="0.25">
      <c r="A4" s="4"/>
      <c r="B4" s="4" t="s">
        <v>3</v>
      </c>
      <c r="C4" s="4" t="s">
        <v>4</v>
      </c>
      <c r="D4" s="4" t="s">
        <v>5</v>
      </c>
    </row>
    <row r="5" spans="1:4" x14ac:dyDescent="0.25">
      <c r="A5" s="1" t="s">
        <v>35</v>
      </c>
      <c r="B5" s="1"/>
      <c r="C5" s="1"/>
      <c r="D5" s="1"/>
    </row>
    <row r="6" spans="1:4" x14ac:dyDescent="0.25">
      <c r="A6" s="5" t="s">
        <v>8</v>
      </c>
      <c r="B6" s="7">
        <f>Assumptions!B6</f>
        <v>100</v>
      </c>
      <c r="C6" s="7">
        <f>Assumptions!C6</f>
        <v>100</v>
      </c>
      <c r="D6" s="7">
        <f>Assumptions!D6</f>
        <v>100</v>
      </c>
    </row>
    <row r="7" spans="1:4" x14ac:dyDescent="0.25">
      <c r="A7" s="5" t="s">
        <v>10</v>
      </c>
      <c r="B7" s="7">
        <f>Assumptions!B7</f>
        <v>20</v>
      </c>
      <c r="C7" s="7">
        <f>Assumptions!C7</f>
        <v>20</v>
      </c>
      <c r="D7" s="7">
        <f>Assumptions!D7</f>
        <v>20</v>
      </c>
    </row>
    <row r="8" spans="1:4" x14ac:dyDescent="0.25">
      <c r="A8" s="5" t="s">
        <v>11</v>
      </c>
      <c r="B8" s="7">
        <f>Assumptions!B8</f>
        <v>25</v>
      </c>
      <c r="C8" s="7">
        <f>Assumptions!C8</f>
        <v>25</v>
      </c>
      <c r="D8" s="7">
        <f>Assumptions!D8</f>
        <v>25</v>
      </c>
    </row>
    <row r="9" spans="1:4" x14ac:dyDescent="0.25">
      <c r="A9" s="5" t="s">
        <v>12</v>
      </c>
      <c r="B9" s="7">
        <f>Assumptions!B9</f>
        <v>10</v>
      </c>
      <c r="C9" s="7">
        <f>Assumptions!C9</f>
        <v>10</v>
      </c>
      <c r="D9" s="7">
        <f>Assumptions!D9</f>
        <v>10</v>
      </c>
    </row>
    <row r="10" spans="1:4" x14ac:dyDescent="0.25">
      <c r="A10" s="5" t="s">
        <v>13</v>
      </c>
      <c r="B10" s="7">
        <f>Assumptions!B10</f>
        <v>5</v>
      </c>
      <c r="C10" s="7">
        <f>Assumptions!C10</f>
        <v>5</v>
      </c>
      <c r="D10" s="7">
        <f>Assumptions!D10</f>
        <v>5</v>
      </c>
    </row>
    <row r="11" spans="1:4" x14ac:dyDescent="0.25">
      <c r="A11" s="5" t="s">
        <v>14</v>
      </c>
      <c r="B11" s="7">
        <f>Assumptions!B11</f>
        <v>10</v>
      </c>
      <c r="C11" s="7">
        <f>Assumptions!C11</f>
        <v>10</v>
      </c>
      <c r="D11" s="7">
        <f>Assumptions!D11</f>
        <v>10</v>
      </c>
    </row>
    <row r="12" spans="1:4" x14ac:dyDescent="0.25">
      <c r="A12" s="5" t="s">
        <v>16</v>
      </c>
      <c r="B12" s="7">
        <f>Assumptions!B13</f>
        <v>5</v>
      </c>
      <c r="C12" s="7">
        <f>Assumptions!C13</f>
        <v>5</v>
      </c>
      <c r="D12" s="7">
        <f>Assumptions!D13</f>
        <v>5</v>
      </c>
    </row>
    <row r="14" spans="1:4" x14ac:dyDescent="0.25">
      <c r="A14" s="1" t="s">
        <v>36</v>
      </c>
      <c r="B14" s="1"/>
      <c r="C14" s="1"/>
      <c r="D14" s="1"/>
    </row>
    <row r="15" spans="1:4" x14ac:dyDescent="0.25">
      <c r="A15" s="5" t="s">
        <v>21</v>
      </c>
      <c r="B15" s="12">
        <f>B6*Assumptions!B18</f>
        <v>5</v>
      </c>
      <c r="C15" s="12">
        <f>C6*Assumptions!C18</f>
        <v>7.5</v>
      </c>
      <c r="D15" s="12">
        <f>D6*Assumptions!D18</f>
        <v>10</v>
      </c>
    </row>
    <row r="16" spans="1:4" x14ac:dyDescent="0.25">
      <c r="A16" s="9" t="s">
        <v>37</v>
      </c>
      <c r="B16" s="10">
        <f>B15</f>
        <v>5</v>
      </c>
      <c r="C16" s="10">
        <f>C15</f>
        <v>7.5</v>
      </c>
      <c r="D16" s="10">
        <f>D15</f>
        <v>10</v>
      </c>
    </row>
    <row r="18" spans="1:4" x14ac:dyDescent="0.25">
      <c r="A18" s="1" t="s">
        <v>38</v>
      </c>
      <c r="B18" s="1"/>
      <c r="C18" s="1"/>
      <c r="D18" s="1"/>
    </row>
    <row r="19" spans="1:4" x14ac:dyDescent="0.25">
      <c r="A19" s="5" t="s">
        <v>39</v>
      </c>
      <c r="B19" s="12">
        <f>B11*Assumptions!B19</f>
        <v>1</v>
      </c>
      <c r="C19" s="12">
        <f>C11*Assumptions!C19</f>
        <v>1.75</v>
      </c>
      <c r="D19" s="12">
        <f>D11*Assumptions!D19</f>
        <v>2.5</v>
      </c>
    </row>
    <row r="20" spans="1:4" x14ac:dyDescent="0.25">
      <c r="A20" s="5" t="s">
        <v>25</v>
      </c>
      <c r="B20" s="12">
        <f>B8*Assumptions!B20</f>
        <v>1.25</v>
      </c>
      <c r="C20" s="12">
        <f>C8*Assumptions!C20</f>
        <v>1.625</v>
      </c>
      <c r="D20" s="12">
        <f>D8*Assumptions!D20</f>
        <v>2</v>
      </c>
    </row>
    <row r="21" spans="1:4" x14ac:dyDescent="0.25">
      <c r="A21" s="5" t="s">
        <v>27</v>
      </c>
      <c r="B21" s="12">
        <f>B9*Assumptions!B21</f>
        <v>1</v>
      </c>
      <c r="C21" s="12">
        <f>C9*Assumptions!C21</f>
        <v>1.1000000000000001</v>
      </c>
      <c r="D21" s="12">
        <f>D9*Assumptions!D21</f>
        <v>1.2</v>
      </c>
    </row>
    <row r="22" spans="1:4" x14ac:dyDescent="0.25">
      <c r="A22" s="5" t="s">
        <v>40</v>
      </c>
      <c r="B22" s="12">
        <f>B10*Assumptions!B22</f>
        <v>0.5</v>
      </c>
      <c r="C22" s="12">
        <f>C10*Assumptions!C22</f>
        <v>0.75</v>
      </c>
      <c r="D22" s="12">
        <f>D10*Assumptions!D22</f>
        <v>1</v>
      </c>
    </row>
    <row r="23" spans="1:4" x14ac:dyDescent="0.25">
      <c r="A23" s="5" t="s">
        <v>31</v>
      </c>
      <c r="B23" s="12">
        <f>B7*Assumptions!B23</f>
        <v>1.2</v>
      </c>
      <c r="C23" s="12">
        <f>C7*Assumptions!C23</f>
        <v>1.4000000000000001</v>
      </c>
      <c r="D23" s="12">
        <f>D7*Assumptions!D23</f>
        <v>1.6</v>
      </c>
    </row>
    <row r="24" spans="1:4" x14ac:dyDescent="0.25">
      <c r="A24" s="9" t="s">
        <v>41</v>
      </c>
      <c r="B24" s="10">
        <f>SUM(B19:B23)</f>
        <v>4.95</v>
      </c>
      <c r="C24" s="10">
        <f>SUM(C19:C23)</f>
        <v>6.625</v>
      </c>
      <c r="D24" s="10">
        <f>SUM(D19:D23)</f>
        <v>8.3000000000000007</v>
      </c>
    </row>
    <row r="26" spans="1:4" x14ac:dyDescent="0.25">
      <c r="A26" s="1" t="s">
        <v>42</v>
      </c>
      <c r="B26" s="1"/>
      <c r="C26" s="1"/>
      <c r="D26" s="1"/>
    </row>
    <row r="27" spans="1:4" x14ac:dyDescent="0.25">
      <c r="A27" s="5" t="s">
        <v>43</v>
      </c>
      <c r="B27" s="10">
        <f>B16+B24</f>
        <v>9.9499999999999993</v>
      </c>
      <c r="C27" s="10">
        <f>C16+C24</f>
        <v>14.125</v>
      </c>
      <c r="D27" s="10">
        <f>D16+D24</f>
        <v>18.3</v>
      </c>
    </row>
    <row r="28" spans="1:4" x14ac:dyDescent="0.25">
      <c r="A28" s="5" t="s">
        <v>44</v>
      </c>
      <c r="B28" s="10">
        <f>B12+B27</f>
        <v>14.95</v>
      </c>
      <c r="C28" s="10">
        <f>C12+C27</f>
        <v>19.125</v>
      </c>
      <c r="D28" s="10">
        <f>D12+D27</f>
        <v>23.3</v>
      </c>
    </row>
    <row r="29" spans="1:4" x14ac:dyDescent="0.25">
      <c r="A29" s="5" t="s">
        <v>45</v>
      </c>
      <c r="B29" s="13">
        <f>B27/B6</f>
        <v>9.9499999999999991E-2</v>
      </c>
      <c r="C29" s="13">
        <f>C27/C6</f>
        <v>0.14124999999999999</v>
      </c>
      <c r="D29" s="13">
        <f>D27/D6</f>
        <v>0.183</v>
      </c>
    </row>
  </sheetData>
  <mergeCells count="6">
    <mergeCell ref="A26:D26"/>
    <mergeCell ref="A1:D1"/>
    <mergeCell ref="A2:D2"/>
    <mergeCell ref="A5:D5"/>
    <mergeCell ref="A14:D14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zoomScaleNormal="100" workbookViewId="0"/>
  </sheetViews>
  <sheetFormatPr defaultColWidth="8.7109375" defaultRowHeight="15" x14ac:dyDescent="0.25"/>
  <cols>
    <col min="1" max="1" width="34" customWidth="1"/>
    <col min="2" max="4" width="18" customWidth="1"/>
  </cols>
  <sheetData>
    <row r="1" spans="1:4" ht="27.75" customHeight="1" x14ac:dyDescent="0.25">
      <c r="A1" s="3" t="s">
        <v>46</v>
      </c>
      <c r="B1" s="3"/>
      <c r="C1" s="3"/>
      <c r="D1" s="3"/>
    </row>
    <row r="3" spans="1:4" x14ac:dyDescent="0.25">
      <c r="A3" s="4" t="s">
        <v>47</v>
      </c>
      <c r="B3" s="4" t="s">
        <v>3</v>
      </c>
      <c r="C3" s="4" t="s">
        <v>4</v>
      </c>
      <c r="D3" s="4" t="s">
        <v>5</v>
      </c>
    </row>
    <row r="4" spans="1:4" x14ac:dyDescent="0.25">
      <c r="A4" s="5" t="s">
        <v>48</v>
      </c>
      <c r="B4" s="12">
        <f>'Synergy Model'!B6</f>
        <v>100</v>
      </c>
      <c r="C4" s="12">
        <f>'Synergy Model'!C6</f>
        <v>100</v>
      </c>
      <c r="D4" s="12">
        <f>'Synergy Model'!D6</f>
        <v>100</v>
      </c>
    </row>
    <row r="5" spans="1:4" x14ac:dyDescent="0.25">
      <c r="A5" s="5" t="s">
        <v>49</v>
      </c>
      <c r="B5" s="12">
        <f>'Synergy Model'!B12</f>
        <v>5</v>
      </c>
      <c r="C5" s="12">
        <f>'Synergy Model'!C12</f>
        <v>5</v>
      </c>
      <c r="D5" s="12">
        <f>'Synergy Model'!D12</f>
        <v>5</v>
      </c>
    </row>
    <row r="6" spans="1:4" x14ac:dyDescent="0.25">
      <c r="A6" s="5" t="s">
        <v>50</v>
      </c>
      <c r="B6" s="12">
        <f>'Synergy Model'!B16</f>
        <v>5</v>
      </c>
      <c r="C6" s="12">
        <f>'Synergy Model'!C16</f>
        <v>7.5</v>
      </c>
      <c r="D6" s="12">
        <f>'Synergy Model'!D16</f>
        <v>10</v>
      </c>
    </row>
    <row r="7" spans="1:4" x14ac:dyDescent="0.25">
      <c r="A7" s="5" t="s">
        <v>51</v>
      </c>
      <c r="B7" s="12">
        <f>'Synergy Model'!B24</f>
        <v>4.95</v>
      </c>
      <c r="C7" s="12">
        <f>'Synergy Model'!C24</f>
        <v>6.625</v>
      </c>
      <c r="D7" s="12">
        <f>'Synergy Model'!D24</f>
        <v>8.3000000000000007</v>
      </c>
    </row>
    <row r="8" spans="1:4" x14ac:dyDescent="0.25">
      <c r="A8" s="9" t="s">
        <v>52</v>
      </c>
      <c r="B8" s="10">
        <f>'Synergy Model'!B27</f>
        <v>9.9499999999999993</v>
      </c>
      <c r="C8" s="10">
        <f>'Synergy Model'!C27</f>
        <v>14.125</v>
      </c>
      <c r="D8" s="10">
        <f>'Synergy Model'!D27</f>
        <v>18.3</v>
      </c>
    </row>
    <row r="9" spans="1:4" x14ac:dyDescent="0.25">
      <c r="A9" s="9" t="s">
        <v>53</v>
      </c>
      <c r="B9" s="10">
        <f>'Synergy Model'!B28</f>
        <v>14.95</v>
      </c>
      <c r="C9" s="10">
        <f>'Synergy Model'!C28</f>
        <v>19.125</v>
      </c>
      <c r="D9" s="10">
        <f>'Synergy Model'!D28</f>
        <v>23.3</v>
      </c>
    </row>
    <row r="10" spans="1:4" x14ac:dyDescent="0.25">
      <c r="A10" s="9" t="s">
        <v>54</v>
      </c>
      <c r="B10" s="14">
        <f>'Synergy Model'!B29</f>
        <v>9.9499999999999991E-2</v>
      </c>
      <c r="C10" s="14">
        <f>'Synergy Model'!C29</f>
        <v>0.14124999999999999</v>
      </c>
      <c r="D10" s="14">
        <f>'Synergy Model'!D29</f>
        <v>0.183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Synergy Model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SUSHANT YADAV</cp:lastModifiedBy>
  <cp:revision>0</cp:revision>
  <dcterms:created xsi:type="dcterms:W3CDTF">2026-04-13T15:21:20Z</dcterms:created>
  <dcterms:modified xsi:type="dcterms:W3CDTF">2026-04-13T15:31:52Z</dcterms:modified>
  <dc:language>en-US</dc:language>
</cp:coreProperties>
</file>